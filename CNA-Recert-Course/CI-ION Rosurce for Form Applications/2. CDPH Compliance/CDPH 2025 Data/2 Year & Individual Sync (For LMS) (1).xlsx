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hort" sheetId="1" r:id="rId4"/>
    <sheet state="hidden" name="Individual Synchronous (Templat" sheetId="2" r:id="rId5"/>
    <sheet state="visible" name="Individual Synchronous" sheetId="3" r:id="rId6"/>
    <sheet state="hidden" name="Grading Scale" sheetId="4" r:id="rId7"/>
  </sheets>
  <definedNames/>
  <calcPr/>
  <extLst>
    <ext uri="GoogleSheetsCustomDataVersion2">
      <go:sheetsCustomData xmlns:go="http://customooxmlschemas.google.com/" r:id="rId8" roundtripDataChecksum="CSi4nKYHh1UYxKA+oa6AeJxM+p24hlVPm+k4u8kNKYs="/>
    </ext>
  </extLst>
</workbook>
</file>

<file path=xl/sharedStrings.xml><?xml version="1.0" encoding="utf-8"?>
<sst xmlns="http://schemas.openxmlformats.org/spreadsheetml/2006/main" count="127" uniqueCount="110">
  <si>
    <t>2-Year Average Course Completion and Certification Pass Rate Statistics</t>
  </si>
  <si>
    <t>Time Period:</t>
  </si>
  <si>
    <t>December-2023-December-2025)</t>
  </si>
  <si>
    <t>Cohort Label
(Start-End Date)</t>
  </si>
  <si>
    <t>Number of Students enrolled in course</t>
  </si>
  <si>
    <t>Number of Students Completed Course</t>
  </si>
  <si>
    <t>Completion Pass Rate
(Percentage)</t>
  </si>
  <si>
    <t>Number of Students who Took Certification Exam</t>
  </si>
  <si>
    <t>Number of Students who Passed Certification Exam</t>
  </si>
  <si>
    <t>Certification Exam Pass Rate
(Percentage)</t>
  </si>
  <si>
    <t>Fall Cycle 1: 10-27-2025 to 12-12-2025</t>
  </si>
  <si>
    <t>Pending</t>
  </si>
  <si>
    <t>Individual Statistics (Synchronous)</t>
  </si>
  <si>
    <t>Cohort Label</t>
  </si>
  <si>
    <t>Cohort Start-End Date</t>
  </si>
  <si>
    <t>Student Last Name</t>
  </si>
  <si>
    <t>Student First Name</t>
  </si>
  <si>
    <t>Graded Item #1 (Percentage)</t>
  </si>
  <si>
    <t>Graded Item #2 (Percentage)</t>
  </si>
  <si>
    <t>Graded Item #3 (Percentage)</t>
  </si>
  <si>
    <t>Student Final (Percentage)</t>
  </si>
  <si>
    <t>Course Pass or Fail</t>
  </si>
  <si>
    <t>Fall Semester 2022</t>
  </si>
  <si>
    <t>September 2022-January 2022</t>
  </si>
  <si>
    <t>Example #1</t>
  </si>
  <si>
    <t>ABC</t>
  </si>
  <si>
    <t>Pass</t>
  </si>
  <si>
    <t>Example #2</t>
  </si>
  <si>
    <t>DEF</t>
  </si>
  <si>
    <t>Fail</t>
  </si>
  <si>
    <t>Example #3</t>
  </si>
  <si>
    <t>GHI</t>
  </si>
  <si>
    <t>INDIVIDUAL STATISTICS (SYNCHRONOUS)</t>
  </si>
  <si>
    <t>Year</t>
  </si>
  <si>
    <t>Cycle</t>
  </si>
  <si>
    <t>Start - End Date</t>
  </si>
  <si>
    <t>First Name</t>
  </si>
  <si>
    <t>Last Name</t>
  </si>
  <si>
    <t>ID Number</t>
  </si>
  <si>
    <t>Theory Class Attendance (Real)</t>
  </si>
  <si>
    <t>Theory Class Attendance Maximum Grade</t>
  </si>
  <si>
    <t>Theory Class Attendance (Percentage)</t>
  </si>
  <si>
    <t>Theory Class Attendance Weight</t>
  </si>
  <si>
    <t>Quiz: Introduction to Nurse Assistant (Real)</t>
  </si>
  <si>
    <t>Quiz: Patient Resident Rights (Real)</t>
  </si>
  <si>
    <t>Quiz: Interpersonal Skills (Real)</t>
  </si>
  <si>
    <t>Quiz: Catastrophe and Unusual Occurrences (Real)</t>
  </si>
  <si>
    <t>Quiz: Body Mechanics (Real)</t>
  </si>
  <si>
    <t>Quiz: Rehabilitative Nursing (Real)</t>
  </si>
  <si>
    <t>Quiz: Emergency Procedures (Real)</t>
  </si>
  <si>
    <t>Quiz: Medical and Surgical Asepsis (Real)</t>
  </si>
  <si>
    <t>Quiz: Patient/Resident Abuse (Real)</t>
  </si>
  <si>
    <t>Quiz: Weights &amp; Measures (Real)</t>
  </si>
  <si>
    <t>Quiz: Observation Charting (Real)</t>
  </si>
  <si>
    <t>Quiz: Patient Care Skills (Real)</t>
  </si>
  <si>
    <t>Quiz: Vital Signs (Real)</t>
  </si>
  <si>
    <t>Quiz: Resident Care Procedures (Real)</t>
  </si>
  <si>
    <t>Quiz: Nutrition (Real)</t>
  </si>
  <si>
    <t>Quiz: Long Term Care (Real)</t>
  </si>
  <si>
    <t>Quiz: Death and Dying (Real)</t>
  </si>
  <si>
    <t>Quizzes Total (Real)</t>
  </si>
  <si>
    <t>Quizzes Maximum Grade</t>
  </si>
  <si>
    <t>Quizzes Total (Percentage)</t>
  </si>
  <si>
    <t>Quizzes Weight</t>
  </si>
  <si>
    <t>Final Exam (Real)</t>
  </si>
  <si>
    <t>Final Exam Maximum Grade</t>
  </si>
  <si>
    <t>Final Exam (Percentage)</t>
  </si>
  <si>
    <t>Final Exam Weight</t>
  </si>
  <si>
    <t>Theory Final Weighted Grade (Percentage)</t>
  </si>
  <si>
    <t>Theory Final Weighted Grade (Letter)</t>
  </si>
  <si>
    <t>Clinical Class Attendance (Real)</t>
  </si>
  <si>
    <t>Clinical Class Attendance Maximum Grade</t>
  </si>
  <si>
    <t>Clinical Class Attendance (Percentage)</t>
  </si>
  <si>
    <t>Clinical Evaluation</t>
  </si>
  <si>
    <t>Course Total (Percentage)</t>
  </si>
  <si>
    <t>Overall Clearance (Course Pass or Fail)</t>
  </si>
  <si>
    <t>Fall 2025</t>
  </si>
  <si>
    <t>Cycle 1</t>
  </si>
  <si>
    <t>October 2025 - December 2025</t>
  </si>
  <si>
    <t>Rainn Cyara Mari</t>
  </si>
  <si>
    <t>De Villa</t>
  </si>
  <si>
    <t>Satisfactory</t>
  </si>
  <si>
    <t>Numeric Grade (Lower Bound)</t>
  </si>
  <si>
    <t>Letter Grade</t>
  </si>
  <si>
    <t>Point Grade</t>
  </si>
  <si>
    <t>Status</t>
  </si>
  <si>
    <t>F</t>
  </si>
  <si>
    <t>Failing</t>
  </si>
  <si>
    <t>D-</t>
  </si>
  <si>
    <t>D</t>
  </si>
  <si>
    <t>D+</t>
  </si>
  <si>
    <t>C-</t>
  </si>
  <si>
    <t>C</t>
  </si>
  <si>
    <t>C+</t>
  </si>
  <si>
    <t>B-</t>
  </si>
  <si>
    <t>Good</t>
  </si>
  <si>
    <t>B</t>
  </si>
  <si>
    <t>B+</t>
  </si>
  <si>
    <t>A-</t>
  </si>
  <si>
    <t>Excellent</t>
  </si>
  <si>
    <t>A</t>
  </si>
  <si>
    <t>Honor Roll</t>
  </si>
  <si>
    <t>P</t>
  </si>
  <si>
    <t>-</t>
  </si>
  <si>
    <t>Credit</t>
  </si>
  <si>
    <t>No Credit</t>
  </si>
  <si>
    <t>I</t>
  </si>
  <si>
    <t>Incomplete</t>
  </si>
  <si>
    <t>W</t>
  </si>
  <si>
    <t>No Grade Assigned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</si>
</sst>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1.0"/>
      <color theme="1"/>
      <name val="Calibri"/>
      <scheme val="minor"/>
    </font>
    <font>
      <sz val="12.0"/>
      <color rgb="FFFFFFFF"/>
      <name val="Calibri"/>
    </font>
    <font>
      <b/>
      <sz val="12.0"/>
      <color rgb="FFFFFFFF"/>
      <name val="Calibri"/>
    </font>
    <font>
      <sz val="11.0"/>
      <color theme="1"/>
      <name val="Calibri"/>
    </font>
    <font/>
    <font>
      <sz val="11.0"/>
      <color rgb="FFFFFFFF"/>
      <name val="Calibri"/>
    </font>
    <font>
      <b/>
      <sz val="11.0"/>
      <color theme="1"/>
      <name val="Calibri"/>
    </font>
    <font>
      <b/>
      <sz val="10.0"/>
      <color rgb="FFFFFFFF"/>
      <name val="Poppins"/>
    </font>
    <font>
      <sz val="10.0"/>
      <color theme="1"/>
      <name val="Arial"/>
    </font>
    <font>
      <sz val="10.0"/>
      <color rgb="FFFFFFFF"/>
      <name val="Poppins"/>
    </font>
    <font>
      <sz val="10.0"/>
      <color theme="1"/>
      <name val="Poppins"/>
    </font>
    <font>
      <color rgb="FFFFFFFF"/>
      <name val="Poppins"/>
    </font>
    <font>
      <color theme="1"/>
      <name val="Poppins"/>
    </font>
    <font>
      <color theme="1"/>
      <name val="Arial"/>
    </font>
  </fonts>
  <fills count="5">
    <fill>
      <patternFill patternType="none"/>
    </fill>
    <fill>
      <patternFill patternType="lightGray"/>
    </fill>
    <fill>
      <patternFill patternType="solid">
        <fgColor rgb="FFB11517"/>
        <bgColor rgb="FFB11517"/>
      </patternFill>
    </fill>
    <fill>
      <patternFill patternType="solid">
        <fgColor rgb="FF980000"/>
        <bgColor rgb="FF980000"/>
      </patternFill>
    </fill>
    <fill>
      <patternFill patternType="solid">
        <fgColor rgb="FFFCE9E9"/>
        <bgColor rgb="FFFCE9E9"/>
      </patternFill>
    </fill>
  </fills>
  <borders count="25">
    <border/>
    <border>
      <left style="medium">
        <color rgb="FF000000"/>
      </left>
      <top style="medium">
        <color rgb="FF000000"/>
      </top>
      <bottom style="medium">
        <color rgb="FF000000"/>
      </bottom>
    </border>
    <border>
      <top style="medium">
        <color rgb="FF000000"/>
      </top>
      <bottom style="medium">
        <color rgb="FF000000"/>
      </bottom>
    </border>
    <border>
      <left style="medium">
        <color rgb="FF000000"/>
      </left>
      <right style="medium">
        <color rgb="FF000000"/>
      </right>
      <bottom style="medium">
        <color rgb="FF000000"/>
      </bottom>
    </border>
    <border>
      <right style="medium">
        <color rgb="FF000000"/>
      </right>
      <top style="medium">
        <color rgb="FF000000"/>
      </top>
      <bottom style="medium">
        <color rgb="FF000000"/>
      </bottom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medium">
        <color rgb="FF000000"/>
      </right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bottom style="medium">
        <color rgb="FF000000"/>
      </bottom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</border>
    <border>
      <left style="medium">
        <color rgb="FFFCE9E9"/>
      </left>
    </border>
    <border>
      <right style="dotted">
        <color rgb="FFFCE9E9"/>
      </right>
    </border>
    <border>
      <right style="medium">
        <color rgb="FFFCE9E9"/>
      </right>
    </border>
    <border>
      <left style="medium">
        <color rgb="FFB11517"/>
      </left>
    </border>
    <border>
      <right style="dotted">
        <color rgb="FFB11517"/>
      </right>
    </border>
    <border>
      <right style="medium">
        <color rgb="FFB11517"/>
      </right>
    </border>
  </borders>
  <cellStyleXfs count="1">
    <xf borderId="0" fillId="0" fontId="0" numFmtId="0" applyAlignment="1" applyFont="1"/>
  </cellStyleXfs>
  <cellXfs count="6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top"/>
    </xf>
    <xf borderId="2" fillId="2" fontId="2" numFmtId="0" xfId="0" applyAlignment="1" applyBorder="1" applyFont="1">
      <alignment horizontal="center" vertical="top"/>
    </xf>
    <xf borderId="2" fillId="2" fontId="1" numFmtId="0" xfId="0" applyAlignment="1" applyBorder="1" applyFont="1">
      <alignment vertical="top"/>
    </xf>
    <xf borderId="0" fillId="0" fontId="3" numFmtId="0" xfId="0" applyAlignment="1" applyFont="1">
      <alignment vertical="top"/>
    </xf>
    <xf borderId="2" fillId="0" fontId="3" numFmtId="0" xfId="0" applyAlignment="1" applyBorder="1" applyFont="1">
      <alignment vertical="top"/>
    </xf>
    <xf borderId="3" fillId="2" fontId="1" numFmtId="0" xfId="0" applyAlignment="1" applyBorder="1" applyFont="1">
      <alignment vertical="top"/>
    </xf>
    <xf borderId="1" fillId="2" fontId="1" numFmtId="0" xfId="0" applyAlignment="1" applyBorder="1" applyFont="1">
      <alignment horizontal="left" readingOrder="0" vertical="top"/>
    </xf>
    <xf borderId="2" fillId="0" fontId="4" numFmtId="0" xfId="0" applyBorder="1" applyFont="1"/>
    <xf borderId="4" fillId="0" fontId="4" numFmtId="0" xfId="0" applyBorder="1" applyFont="1"/>
    <xf borderId="5" fillId="2" fontId="5" numFmtId="0" xfId="0" applyAlignment="1" applyBorder="1" applyFont="1">
      <alignment vertical="top"/>
    </xf>
    <xf borderId="6" fillId="2" fontId="5" numFmtId="0" xfId="0" applyAlignment="1" applyBorder="1" applyFont="1">
      <alignment vertical="top"/>
    </xf>
    <xf borderId="0" fillId="2" fontId="5" numFmtId="0" xfId="0" applyAlignment="1" applyFont="1">
      <alignment vertical="top"/>
    </xf>
    <xf borderId="7" fillId="0" fontId="6" numFmtId="0" xfId="0" applyAlignment="1" applyBorder="1" applyFont="1">
      <alignment horizontal="left" shrinkToFit="0" vertical="top" wrapText="1"/>
    </xf>
    <xf borderId="8" fillId="0" fontId="6" numFmtId="0" xfId="0" applyAlignment="1" applyBorder="1" applyFont="1">
      <alignment horizontal="left" shrinkToFit="0" vertical="top" wrapText="1"/>
    </xf>
    <xf borderId="0" fillId="0" fontId="3" numFmtId="0" xfId="0" applyAlignment="1" applyFont="1">
      <alignment shrinkToFit="0" vertical="top" wrapText="1"/>
    </xf>
    <xf borderId="9" fillId="0" fontId="3" numFmtId="0" xfId="0" applyAlignment="1" applyBorder="1" applyFont="1">
      <alignment readingOrder="0" shrinkToFit="0" vertical="top" wrapText="1"/>
    </xf>
    <xf borderId="9" fillId="0" fontId="3" numFmtId="0" xfId="0" applyAlignment="1" applyBorder="1" applyFont="1">
      <alignment horizontal="center" readingOrder="0" vertical="top"/>
    </xf>
    <xf borderId="9" fillId="0" fontId="3" numFmtId="9" xfId="0" applyAlignment="1" applyBorder="1" applyFont="1" applyNumberFormat="1">
      <alignment horizontal="center" vertical="top"/>
    </xf>
    <xf borderId="10" fillId="0" fontId="3" numFmtId="9" xfId="0" applyAlignment="1" applyBorder="1" applyFont="1" applyNumberFormat="1">
      <alignment horizontal="center" vertical="top"/>
    </xf>
    <xf borderId="11" fillId="0" fontId="3" numFmtId="0" xfId="0" applyAlignment="1" applyBorder="1" applyFont="1">
      <alignment vertical="top"/>
    </xf>
    <xf borderId="12" fillId="0" fontId="3" numFmtId="0" xfId="0" applyAlignment="1" applyBorder="1" applyFont="1">
      <alignment horizontal="center" vertical="top"/>
    </xf>
    <xf borderId="12" fillId="0" fontId="3" numFmtId="9" xfId="0" applyAlignment="1" applyBorder="1" applyFont="1" applyNumberFormat="1">
      <alignment horizontal="center" vertical="top"/>
    </xf>
    <xf borderId="13" fillId="0" fontId="3" numFmtId="9" xfId="0" applyAlignment="1" applyBorder="1" applyFont="1" applyNumberFormat="1">
      <alignment horizontal="center" vertical="top"/>
    </xf>
    <xf borderId="14" fillId="0" fontId="3" numFmtId="0" xfId="0" applyAlignment="1" applyBorder="1" applyFont="1">
      <alignment vertical="top"/>
    </xf>
    <xf borderId="15" fillId="0" fontId="3" numFmtId="0" xfId="0" applyAlignment="1" applyBorder="1" applyFont="1">
      <alignment horizontal="center" vertical="top"/>
    </xf>
    <xf borderId="15" fillId="0" fontId="3" numFmtId="9" xfId="0" applyAlignment="1" applyBorder="1" applyFont="1" applyNumberFormat="1">
      <alignment horizontal="center" vertical="top"/>
    </xf>
    <xf borderId="16" fillId="0" fontId="3" numFmtId="9" xfId="0" applyAlignment="1" applyBorder="1" applyFont="1" applyNumberFormat="1">
      <alignment horizontal="center" vertical="top"/>
    </xf>
    <xf borderId="0" fillId="0" fontId="3" numFmtId="0" xfId="0" applyAlignment="1" applyFont="1">
      <alignment horizontal="center" vertical="top"/>
    </xf>
    <xf borderId="0" fillId="0" fontId="3" numFmtId="9" xfId="0" applyAlignment="1" applyFont="1" applyNumberFormat="1">
      <alignment horizontal="center" vertical="top"/>
    </xf>
    <xf borderId="0" fillId="0" fontId="3" numFmtId="2" xfId="0" applyAlignment="1" applyFont="1" applyNumberFormat="1">
      <alignment vertical="top"/>
    </xf>
    <xf borderId="1" fillId="0" fontId="3" numFmtId="0" xfId="0" applyAlignment="1" applyBorder="1" applyFont="1">
      <alignment vertical="top"/>
    </xf>
    <xf borderId="2" fillId="0" fontId="6" numFmtId="0" xfId="0" applyAlignment="1" applyBorder="1" applyFont="1">
      <alignment horizontal="center" vertical="top"/>
    </xf>
    <xf borderId="4" fillId="0" fontId="3" numFmtId="0" xfId="0" applyAlignment="1" applyBorder="1" applyFont="1">
      <alignment vertical="top"/>
    </xf>
    <xf borderId="17" fillId="0" fontId="6" numFmtId="0" xfId="0" applyAlignment="1" applyBorder="1" applyFont="1">
      <alignment vertical="top"/>
    </xf>
    <xf borderId="17" fillId="0" fontId="6" numFmtId="0" xfId="0" applyAlignment="1" applyBorder="1" applyFont="1">
      <alignment horizontal="center" vertical="top"/>
    </xf>
    <xf borderId="17" fillId="0" fontId="6" numFmtId="0" xfId="0" applyAlignment="1" applyBorder="1" applyFont="1">
      <alignment shrinkToFit="0" vertical="top" wrapText="1"/>
    </xf>
    <xf borderId="9" fillId="0" fontId="3" numFmtId="0" xfId="0" applyAlignment="1" applyBorder="1" applyFont="1">
      <alignment vertical="top"/>
    </xf>
    <xf borderId="9" fillId="0" fontId="3" numFmtId="2" xfId="0" applyAlignment="1" applyBorder="1" applyFont="1" applyNumberFormat="1">
      <alignment vertical="top"/>
    </xf>
    <xf borderId="18" fillId="0" fontId="3" numFmtId="0" xfId="0" applyAlignment="1" applyBorder="1" applyFont="1">
      <alignment vertical="top"/>
    </xf>
    <xf borderId="12" fillId="0" fontId="3" numFmtId="0" xfId="0" applyAlignment="1" applyBorder="1" applyFont="1">
      <alignment vertical="top"/>
    </xf>
    <xf borderId="12" fillId="0" fontId="3" numFmtId="2" xfId="0" applyAlignment="1" applyBorder="1" applyFont="1" applyNumberFormat="1">
      <alignment vertical="top"/>
    </xf>
    <xf borderId="0" fillId="2" fontId="7" numFmtId="0" xfId="0" applyAlignment="1" applyFont="1">
      <alignment shrinkToFit="0" wrapText="1"/>
    </xf>
    <xf borderId="0" fillId="2" fontId="8" numFmtId="0" xfId="0" applyFont="1"/>
    <xf borderId="0" fillId="3" fontId="8" numFmtId="0" xfId="0" applyFill="1" applyFont="1"/>
    <xf borderId="0" fillId="2" fontId="9" numFmtId="0" xfId="0" applyAlignment="1" applyFont="1">
      <alignment shrinkToFit="0" wrapText="1"/>
    </xf>
    <xf borderId="19" fillId="2" fontId="9" numFmtId="0" xfId="0" applyAlignment="1" applyBorder="1" applyFont="1">
      <alignment shrinkToFit="0" wrapText="1"/>
    </xf>
    <xf borderId="20" fillId="2" fontId="9" numFmtId="0" xfId="0" applyAlignment="1" applyBorder="1" applyFont="1">
      <alignment shrinkToFit="0" wrapText="1"/>
    </xf>
    <xf borderId="0" fillId="3" fontId="9" numFmtId="0" xfId="0" applyAlignment="1" applyFont="1">
      <alignment shrinkToFit="0" wrapText="1"/>
    </xf>
    <xf borderId="21" fillId="3" fontId="9" numFmtId="0" xfId="0" applyAlignment="1" applyBorder="1" applyFont="1">
      <alignment shrinkToFit="0" wrapText="1"/>
    </xf>
    <xf borderId="19" fillId="3" fontId="9" numFmtId="0" xfId="0" applyAlignment="1" applyBorder="1" applyFont="1">
      <alignment shrinkToFit="0" wrapText="1"/>
    </xf>
    <xf borderId="0" fillId="0" fontId="10" numFmtId="0" xfId="0" applyAlignment="1" applyFont="1">
      <alignment shrinkToFit="0" wrapText="1"/>
    </xf>
    <xf borderId="0" fillId="0" fontId="10" numFmtId="0" xfId="0" applyAlignment="1" applyFont="1">
      <alignment horizontal="right" shrinkToFit="0" wrapText="1"/>
    </xf>
    <xf borderId="22" fillId="4" fontId="10" numFmtId="0" xfId="0" applyAlignment="1" applyBorder="1" applyFill="1" applyFont="1">
      <alignment horizontal="right" shrinkToFit="0" wrapText="1"/>
    </xf>
    <xf borderId="0" fillId="0" fontId="10" numFmtId="4" xfId="0" applyAlignment="1" applyFont="1" applyNumberFormat="1">
      <alignment horizontal="right" shrinkToFit="0" wrapText="1"/>
    </xf>
    <xf borderId="23" fillId="0" fontId="10" numFmtId="9" xfId="0" applyAlignment="1" applyBorder="1" applyFont="1" applyNumberFormat="1">
      <alignment horizontal="right" shrinkToFit="0" wrapText="1"/>
    </xf>
    <xf borderId="0" fillId="4" fontId="10" numFmtId="0" xfId="0" applyAlignment="1" applyFont="1">
      <alignment horizontal="right" shrinkToFit="0" wrapText="1"/>
    </xf>
    <xf borderId="0" fillId="0" fontId="10" numFmtId="0" xfId="0" applyAlignment="1" applyFont="1">
      <alignment horizontal="center" shrinkToFit="0" wrapText="1"/>
    </xf>
    <xf borderId="23" fillId="0" fontId="10" numFmtId="0" xfId="0" applyAlignment="1" applyBorder="1" applyFont="1">
      <alignment horizontal="right" shrinkToFit="0" wrapText="1"/>
    </xf>
    <xf borderId="24" fillId="4" fontId="10" numFmtId="49" xfId="0" applyAlignment="1" applyBorder="1" applyFont="1" applyNumberFormat="1">
      <alignment shrinkToFit="0" wrapText="1"/>
    </xf>
    <xf borderId="22" fillId="0" fontId="10" numFmtId="49" xfId="0" applyAlignment="1" applyBorder="1" applyFont="1" applyNumberFormat="1">
      <alignment shrinkToFit="0" wrapText="1"/>
    </xf>
    <xf borderId="0" fillId="2" fontId="11" numFmtId="0" xfId="0" applyAlignment="1" applyFont="1">
      <alignment shrinkToFit="0" wrapText="1"/>
    </xf>
    <xf borderId="0" fillId="0" fontId="12" numFmtId="3" xfId="0" applyAlignment="1" applyFont="1" applyNumberFormat="1">
      <alignment horizontal="center" shrinkToFit="0" wrapText="1"/>
    </xf>
    <xf borderId="0" fillId="0" fontId="12" numFmtId="0" xfId="0" applyAlignment="1" applyFont="1">
      <alignment shrinkToFit="0" wrapText="1"/>
    </xf>
    <xf borderId="0" fillId="0" fontId="12" numFmtId="0" xfId="0" applyAlignment="1" applyFont="1">
      <alignment horizontal="right" shrinkToFit="0" wrapText="1"/>
    </xf>
    <xf borderId="0" fillId="0" fontId="13" numFmtId="0" xfId="0" applyFont="1"/>
    <xf borderId="0" fillId="0" fontId="12" numFmtId="0" xfId="0" applyAlignment="1" applyFont="1">
      <alignment horizontal="center" shrinkToFit="0" wrapText="1"/>
    </xf>
    <xf borderId="0" fillId="0" fontId="12" numFmtId="9" xfId="0" applyAlignment="1" applyFont="1" applyNumberFormat="1">
      <alignment horizontal="center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8.29"/>
    <col customWidth="1" min="2" max="2" width="65.86"/>
    <col customWidth="1" min="3" max="4" width="18.29"/>
    <col customWidth="1" min="5" max="5" width="20.43"/>
    <col customWidth="1" min="6" max="6" width="22.0"/>
    <col customWidth="1" min="7" max="7" width="20.0"/>
    <col customWidth="1" min="8" max="8" width="14.57"/>
    <col customWidth="1" min="9" max="9" width="13.43"/>
    <col customWidth="1" min="10" max="26" width="12.0"/>
  </cols>
  <sheetData>
    <row r="1" ht="14.25" customHeight="1">
      <c r="A1" s="1"/>
      <c r="B1" s="2" t="s">
        <v>0</v>
      </c>
      <c r="C1" s="3"/>
      <c r="D1" s="3"/>
      <c r="E1" s="3"/>
      <c r="F1" s="3"/>
      <c r="G1" s="3"/>
      <c r="H1" s="4"/>
      <c r="I1" s="4"/>
      <c r="J1" s="4"/>
      <c r="K1" s="4"/>
      <c r="L1" s="4"/>
      <c r="M1" s="4"/>
      <c r="N1" s="4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 ht="14.25" customHeight="1">
      <c r="A2" s="6" t="s">
        <v>1</v>
      </c>
      <c r="B2" s="7" t="s">
        <v>2</v>
      </c>
      <c r="C2" s="8"/>
      <c r="D2" s="8"/>
      <c r="E2" s="8"/>
      <c r="F2" s="8"/>
      <c r="G2" s="9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 ht="14.25" customHeight="1">
      <c r="A3" s="10"/>
      <c r="B3" s="11"/>
      <c r="C3" s="11"/>
      <c r="D3" s="11"/>
      <c r="E3" s="12"/>
      <c r="F3" s="12"/>
      <c r="G3" s="11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 ht="47.25" customHeight="1">
      <c r="A4" s="13" t="s">
        <v>3</v>
      </c>
      <c r="B4" s="14" t="s">
        <v>4</v>
      </c>
      <c r="C4" s="14" t="s">
        <v>5</v>
      </c>
      <c r="D4" s="14" t="s">
        <v>6</v>
      </c>
      <c r="E4" s="14" t="s">
        <v>7</v>
      </c>
      <c r="F4" s="14" t="s">
        <v>8</v>
      </c>
      <c r="G4" s="14" t="s">
        <v>9</v>
      </c>
      <c r="H4" s="15"/>
      <c r="I4" s="15"/>
      <c r="J4" s="15"/>
      <c r="K4" s="15"/>
      <c r="L4" s="15"/>
      <c r="M4" s="15"/>
      <c r="N4" s="15"/>
      <c r="O4" s="15"/>
      <c r="P4" s="15"/>
      <c r="Q4" s="15"/>
      <c r="R4" s="15"/>
      <c r="S4" s="15"/>
      <c r="T4" s="15"/>
      <c r="U4" s="15"/>
      <c r="V4" s="15"/>
      <c r="W4" s="15"/>
      <c r="X4" s="15"/>
      <c r="Y4" s="15"/>
      <c r="Z4" s="15"/>
    </row>
    <row r="5" ht="14.25" customHeight="1">
      <c r="A5" s="16" t="s">
        <v>10</v>
      </c>
      <c r="B5" s="17">
        <v>1.0</v>
      </c>
      <c r="C5" s="17">
        <v>1.0</v>
      </c>
      <c r="D5" s="18">
        <f>C5/B5</f>
        <v>1</v>
      </c>
      <c r="E5" s="17" t="s">
        <v>11</v>
      </c>
      <c r="F5" s="17" t="s">
        <v>11</v>
      </c>
      <c r="G5" s="19" t="str">
        <f>F5/E5</f>
        <v>#VALUE!</v>
      </c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14.25" customHeight="1">
      <c r="A6" s="20"/>
      <c r="B6" s="21"/>
      <c r="C6" s="21"/>
      <c r="D6" s="22"/>
      <c r="E6" s="21"/>
      <c r="F6" s="21"/>
      <c r="G6" s="23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14.25" customHeight="1">
      <c r="A7" s="20"/>
      <c r="B7" s="21"/>
      <c r="C7" s="21"/>
      <c r="D7" s="22"/>
      <c r="E7" s="21"/>
      <c r="F7" s="21"/>
      <c r="G7" s="23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4.25" customHeight="1">
      <c r="A8" s="20"/>
      <c r="B8" s="21"/>
      <c r="C8" s="21"/>
      <c r="D8" s="22"/>
      <c r="E8" s="21"/>
      <c r="F8" s="21"/>
      <c r="G8" s="23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14.25" customHeight="1">
      <c r="A9" s="20"/>
      <c r="B9" s="21"/>
      <c r="C9" s="21"/>
      <c r="D9" s="22"/>
      <c r="E9" s="21"/>
      <c r="F9" s="21"/>
      <c r="G9" s="23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14.25" customHeight="1">
      <c r="A10" s="20"/>
      <c r="B10" s="21"/>
      <c r="C10" s="21"/>
      <c r="D10" s="22"/>
      <c r="E10" s="21"/>
      <c r="F10" s="21"/>
      <c r="G10" s="23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14.25" customHeight="1">
      <c r="A11" s="20"/>
      <c r="B11" s="21"/>
      <c r="C11" s="21"/>
      <c r="D11" s="22"/>
      <c r="E11" s="21"/>
      <c r="F11" s="21"/>
      <c r="G11" s="23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14.25" customHeight="1">
      <c r="A12" s="24"/>
      <c r="B12" s="25"/>
      <c r="C12" s="25"/>
      <c r="D12" s="26"/>
      <c r="E12" s="25"/>
      <c r="F12" s="25"/>
      <c r="G12" s="27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14.25" customHeight="1">
      <c r="A13" s="4"/>
      <c r="B13" s="28"/>
      <c r="C13" s="28"/>
      <c r="D13" s="29"/>
      <c r="E13" s="28"/>
      <c r="F13" s="28"/>
      <c r="G13" s="29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14.25" customHeight="1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14.25" customHeight="1">
      <c r="A15" s="4"/>
      <c r="B15" s="4"/>
      <c r="C15" s="4"/>
      <c r="D15" s="4"/>
      <c r="E15" s="30"/>
      <c r="F15" s="30"/>
      <c r="G15" s="30"/>
      <c r="H15" s="30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14.25" customHeight="1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14.25" customHeight="1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14.25" customHeight="1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14.25" customHeight="1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14.25" customHeight="1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4.25" customHeight="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14.25" customHeight="1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4.25" customHeight="1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14.25" customHeight="1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4.25" customHeight="1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14.25" customHeight="1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4.25" customHeight="1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14.25" customHeight="1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4.25" customHeight="1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4.25" customHeight="1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14.25" customHeight="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4.25" customHeight="1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4.25" customHeight="1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4.25" customHeight="1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4.25" customHeight="1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4.25" customHeight="1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14.25" customHeight="1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4.25" customHeight="1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14.25" customHeight="1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4.25" customHeight="1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14.25" customHeight="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4.25" customHeight="1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14.25" customHeight="1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4.25" customHeight="1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14.25" customHeight="1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4.25" customHeight="1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4.25" customHeight="1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14.25" customHeight="1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4.25" customHeight="1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4.25" customHeight="1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4.25" customHeight="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4.25" customHeight="1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4.25" customHeight="1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14.25" customHeight="1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4.25" customHeight="1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4.25" customHeight="1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4.25" customHeight="1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4.25" customHeight="1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4.25" customHeight="1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14.25" customHeight="1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14.25" customHeight="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14.25" customHeight="1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14.25" customHeight="1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14.25" customHeight="1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14.25" customHeight="1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14.25" customHeight="1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14.25" customHeight="1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4.25" customHeight="1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4.25" customHeight="1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14.25" customHeight="1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14.25" customHeight="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14.25" customHeight="1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14.25" customHeight="1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14.25" customHeight="1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14.25" customHeight="1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14.25" customHeight="1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14.25" customHeight="1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14.25" customHeight="1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14.25" customHeight="1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14.25" customHeight="1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14.25" customHeight="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14.25" customHeight="1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14.25" customHeight="1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14.25" customHeight="1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14.25" customHeight="1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14.25" customHeight="1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14.25" customHeight="1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14.25" customHeight="1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14.25" customHeight="1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14.25" customHeight="1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14.25" customHeight="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14.25" customHeight="1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14.25" customHeight="1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14.25" customHeight="1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14.25" customHeight="1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14.25" customHeight="1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14.25" customHeight="1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14.25" customHeight="1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14.25" customHeight="1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14.25" customHeight="1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14.25" customHeight="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14.25" customHeight="1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14.25" customHeight="1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14.25" customHeight="1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14.25" customHeight="1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14.25" customHeight="1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14.25" customHeight="1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14.25" customHeight="1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14.25" customHeight="1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14.25" customHeight="1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14.25" customHeight="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14.25" customHeight="1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14.25" customHeight="1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14.25" customHeight="1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14.25" customHeight="1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14.25" customHeight="1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14.25" customHeight="1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14.25" customHeight="1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14.25" customHeight="1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14.25" customHeight="1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14.25" customHeight="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14.25" customHeight="1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14.25" customHeight="1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14.25" customHeight="1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14.25" customHeight="1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14.25" customHeight="1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14.25" customHeight="1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14.25" customHeight="1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14.25" customHeight="1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14.25" customHeight="1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14.25" customHeight="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14.25" customHeight="1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14.25" customHeight="1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14.25" customHeight="1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14.25" customHeight="1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14.25" customHeight="1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14.25" customHeight="1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14.25" customHeight="1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14.25" customHeight="1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14.25" customHeight="1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14.25" customHeight="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14.25" customHeight="1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14.25" customHeight="1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14.25" customHeight="1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14.25" customHeight="1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14.25" customHeight="1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14.25" customHeight="1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14.25" customHeight="1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14.25" customHeight="1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14.25" customHeight="1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14.25" customHeight="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14.25" customHeight="1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14.25" customHeight="1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14.25" customHeight="1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14.25" customHeight="1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14.25" customHeight="1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14.25" customHeight="1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14.25" customHeight="1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14.25" customHeight="1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14.25" customHeight="1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14.25" customHeight="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14.25" customHeight="1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14.25" customHeight="1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14.25" customHeight="1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14.25" customHeight="1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14.25" customHeight="1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14.25" customHeight="1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14.25" customHeight="1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14.25" customHeight="1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14.25" customHeight="1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14.25" customHeight="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14.25" customHeight="1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14.25" customHeight="1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14.25" customHeight="1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14.25" customHeight="1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14.25" customHeight="1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14.25" customHeight="1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14.25" customHeight="1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14.25" customHeight="1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14.25" customHeight="1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14.25" customHeight="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14.25" customHeight="1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14.25" customHeight="1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14.25" customHeight="1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14.25" customHeight="1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14.25" customHeight="1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14.25" customHeight="1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14.25" customHeight="1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14.25" customHeight="1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14.25" customHeight="1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14.25" customHeight="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14.25" customHeight="1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14.25" customHeight="1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14.25" customHeight="1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14.25" customHeight="1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14.25" customHeight="1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14.25" customHeight="1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14.25" customHeight="1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14.25" customHeight="1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14.25" customHeight="1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14.25" customHeight="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14.25" customHeight="1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14.25" customHeight="1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14.25" customHeight="1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14.25" customHeight="1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14.25" customHeight="1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14.25" customHeight="1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14.25" customHeight="1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14.25" customHeight="1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14.25" customHeight="1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14.25" customHeight="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14.25" customHeight="1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14.25" customHeight="1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14.25" customHeight="1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14.25" customHeight="1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14.25" customHeight="1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14.25" customHeight="1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14.25" customHeight="1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14.25" customHeight="1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14.25" customHeight="1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14.25" customHeight="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14.25" customHeight="1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14.25" customHeight="1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14.25" customHeight="1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14.25" customHeight="1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14.25" customHeight="1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14.25" customHeight="1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14.25" customHeight="1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14.25" customHeight="1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14.25" customHeight="1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14.25" customHeight="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14.25" customHeight="1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14.25" customHeight="1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14.25" customHeight="1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14.25" customHeight="1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14.25" customHeight="1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14.25" customHeight="1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14.25" customHeight="1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14.25" customHeight="1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14.25" customHeight="1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14.25" customHeight="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14.25" customHeight="1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14.25" customHeight="1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14.25" customHeight="1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14.25" customHeight="1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14.25" customHeight="1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14.25" customHeight="1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14.25" customHeight="1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14.25" customHeight="1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14.25" customHeight="1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14.25" customHeight="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14.25" customHeight="1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14.25" customHeight="1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14.25" customHeight="1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14.25" customHeight="1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14.25" customHeight="1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14.25" customHeight="1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14.25" customHeight="1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14.25" customHeight="1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14.25" customHeight="1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14.25" customHeight="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14.25" customHeight="1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14.25" customHeight="1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14.25" customHeight="1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14.25" customHeight="1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14.25" customHeight="1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14.25" customHeight="1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14.25" customHeight="1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14.25" customHeight="1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14.25" customHeight="1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14.25" customHeight="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14.25" customHeight="1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14.25" customHeight="1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14.25" customHeight="1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14.25" customHeight="1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14.25" customHeight="1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14.25" customHeight="1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14.25" customHeight="1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14.25" customHeight="1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14.25" customHeight="1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14.25" customHeight="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14.25" customHeight="1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14.25" customHeight="1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14.25" customHeight="1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14.25" customHeight="1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14.25" customHeight="1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14.25" customHeight="1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14.25" customHeight="1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14.25" customHeight="1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14.25" customHeight="1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14.25" customHeight="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14.25" customHeight="1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14.25" customHeight="1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14.25" customHeight="1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14.25" customHeight="1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14.25" customHeight="1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14.25" customHeight="1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14.25" customHeight="1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14.25" customHeight="1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14.25" customHeight="1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14.25" customHeight="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14.25" customHeight="1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14.25" customHeight="1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14.25" customHeight="1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14.25" customHeight="1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14.25" customHeight="1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14.25" customHeight="1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14.25" customHeight="1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14.25" customHeight="1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14.25" customHeight="1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14.25" customHeight="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14.25" customHeight="1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14.25" customHeight="1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14.25" customHeight="1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14.25" customHeight="1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14.25" customHeight="1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14.25" customHeight="1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14.25" customHeight="1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14.25" customHeight="1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14.25" customHeight="1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14.25" customHeight="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14.25" customHeight="1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14.25" customHeight="1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14.25" customHeight="1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14.25" customHeight="1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14.25" customHeight="1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14.25" customHeight="1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14.25" customHeight="1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14.25" customHeight="1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14.25" customHeight="1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14.25" customHeight="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14.25" customHeight="1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14.25" customHeight="1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14.25" customHeight="1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14.25" customHeight="1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14.25" customHeight="1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14.25" customHeight="1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14.25" customHeight="1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14.25" customHeight="1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14.25" customHeight="1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14.25" customHeight="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14.25" customHeight="1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14.25" customHeight="1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14.25" customHeight="1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14.25" customHeight="1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14.25" customHeight="1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14.25" customHeight="1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14.25" customHeight="1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14.25" customHeight="1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14.25" customHeight="1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14.25" customHeight="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14.25" customHeight="1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14.25" customHeight="1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14.25" customHeight="1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14.25" customHeight="1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14.25" customHeight="1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14.25" customHeight="1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14.25" customHeight="1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14.25" customHeight="1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14.25" customHeight="1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14.25" customHeight="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14.25" customHeight="1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14.25" customHeight="1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14.25" customHeight="1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14.25" customHeight="1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14.25" customHeight="1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14.25" customHeight="1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14.25" customHeight="1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14.25" customHeight="1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14.25" customHeight="1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14.25" customHeight="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14.25" customHeight="1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14.25" customHeight="1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14.25" customHeight="1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14.25" customHeight="1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14.25" customHeight="1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14.25" customHeight="1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14.25" customHeight="1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14.25" customHeight="1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14.25" customHeight="1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14.25" customHeight="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14.25" customHeight="1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14.25" customHeight="1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14.25" customHeight="1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14.25" customHeight="1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14.25" customHeight="1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14.25" customHeight="1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14.25" customHeight="1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14.25" customHeight="1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14.25" customHeight="1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14.25" customHeight="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14.25" customHeight="1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14.25" customHeight="1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14.25" customHeight="1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14.25" customHeight="1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14.25" customHeight="1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14.25" customHeight="1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14.25" customHeight="1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14.25" customHeight="1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14.25" customHeight="1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14.25" customHeight="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14.25" customHeight="1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14.25" customHeight="1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14.25" customHeight="1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14.25" customHeight="1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14.25" customHeight="1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14.25" customHeight="1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14.25" customHeight="1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14.25" customHeight="1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14.25" customHeight="1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14.25" customHeight="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14.25" customHeight="1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14.25" customHeight="1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14.25" customHeight="1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14.25" customHeight="1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14.25" customHeight="1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14.25" customHeight="1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14.25" customHeight="1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14.25" customHeight="1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14.25" customHeight="1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14.25" customHeight="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14.25" customHeight="1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14.25" customHeight="1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14.25" customHeight="1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14.25" customHeight="1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14.25" customHeight="1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14.25" customHeight="1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14.25" customHeight="1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14.25" customHeight="1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14.25" customHeight="1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14.25" customHeight="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14.25" customHeight="1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14.25" customHeight="1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14.25" customHeight="1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14.25" customHeight="1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14.25" customHeight="1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14.25" customHeight="1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14.25" customHeight="1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14.25" customHeight="1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14.25" customHeight="1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14.25" customHeight="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14.25" customHeight="1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14.25" customHeight="1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14.25" customHeight="1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14.25" customHeight="1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14.25" customHeight="1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14.25" customHeight="1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14.25" customHeight="1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14.25" customHeight="1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14.25" customHeight="1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14.25" customHeight="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14.25" customHeight="1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14.25" customHeight="1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14.25" customHeight="1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14.25" customHeight="1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14.25" customHeight="1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14.25" customHeight="1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14.25" customHeight="1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14.25" customHeight="1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14.25" customHeight="1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14.25" customHeight="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14.25" customHeight="1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14.25" customHeight="1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14.25" customHeight="1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14.25" customHeight="1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14.25" customHeight="1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14.25" customHeight="1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14.25" customHeight="1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14.25" customHeight="1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14.25" customHeight="1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14.25" customHeight="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14.25" customHeight="1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14.25" customHeight="1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14.25" customHeight="1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14.25" customHeight="1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14.25" customHeight="1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14.25" customHeight="1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14.25" customHeight="1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14.25" customHeight="1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14.25" customHeight="1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14.25" customHeight="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14.25" customHeight="1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14.25" customHeight="1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14.25" customHeight="1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14.25" customHeight="1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14.25" customHeight="1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14.25" customHeight="1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14.25" customHeight="1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14.25" customHeight="1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14.25" customHeight="1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14.25" customHeight="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14.25" customHeight="1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14.25" customHeight="1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14.25" customHeight="1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14.25" customHeight="1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14.25" customHeight="1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14.25" customHeight="1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14.25" customHeight="1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14.25" customHeight="1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14.25" customHeight="1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14.25" customHeight="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14.25" customHeight="1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14.25" customHeight="1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14.25" customHeight="1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14.25" customHeight="1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14.25" customHeight="1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14.25" customHeight="1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14.25" customHeight="1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14.25" customHeight="1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14.25" customHeight="1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14.25" customHeight="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14.25" customHeight="1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14.25" customHeight="1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14.25" customHeight="1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14.25" customHeight="1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14.25" customHeight="1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14.25" customHeight="1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14.25" customHeight="1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14.25" customHeight="1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14.25" customHeight="1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14.25" customHeight="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14.25" customHeight="1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14.25" customHeight="1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14.25" customHeight="1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14.25" customHeight="1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14.25" customHeight="1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14.25" customHeight="1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14.25" customHeight="1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14.25" customHeight="1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14.25" customHeight="1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14.25" customHeight="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14.25" customHeight="1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14.25" customHeight="1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14.25" customHeight="1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14.25" customHeight="1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14.25" customHeight="1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14.25" customHeight="1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14.25" customHeight="1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14.25" customHeight="1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14.25" customHeight="1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14.25" customHeight="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14.25" customHeight="1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14.25" customHeight="1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14.25" customHeight="1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14.25" customHeight="1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14.25" customHeight="1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14.25" customHeight="1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14.25" customHeight="1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14.25" customHeight="1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14.25" customHeight="1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14.25" customHeight="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14.25" customHeight="1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14.25" customHeight="1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14.25" customHeight="1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14.25" customHeight="1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14.25" customHeight="1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14.25" customHeight="1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14.25" customHeight="1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14.25" customHeight="1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14.25" customHeight="1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14.25" customHeight="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14.25" customHeight="1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14.25" customHeight="1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14.25" customHeight="1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14.25" customHeight="1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14.25" customHeight="1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14.25" customHeight="1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14.25" customHeight="1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14.25" customHeight="1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14.25" customHeight="1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14.25" customHeight="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14.25" customHeight="1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14.25" customHeight="1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14.25" customHeight="1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14.25" customHeight="1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14.25" customHeight="1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14.25" customHeight="1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14.25" customHeight="1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14.25" customHeight="1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14.25" customHeight="1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14.25" customHeight="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14.25" customHeight="1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14.25" customHeight="1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14.25" customHeight="1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14.25" customHeight="1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14.25" customHeight="1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14.25" customHeight="1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14.25" customHeight="1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14.25" customHeight="1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14.25" customHeight="1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14.25" customHeight="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14.25" customHeight="1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14.25" customHeight="1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14.25" customHeight="1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14.25" customHeight="1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14.25" customHeight="1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14.25" customHeight="1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14.25" customHeight="1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14.25" customHeight="1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14.25" customHeight="1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14.25" customHeight="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14.25" customHeight="1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14.25" customHeight="1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14.25" customHeight="1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14.25" customHeight="1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14.25" customHeight="1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14.25" customHeight="1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14.25" customHeight="1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14.25" customHeight="1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14.25" customHeight="1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14.25" customHeight="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14.25" customHeight="1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14.25" customHeight="1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14.25" customHeight="1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14.25" customHeight="1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14.25" customHeight="1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14.25" customHeight="1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14.25" customHeight="1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14.25" customHeight="1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14.25" customHeight="1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14.25" customHeight="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14.25" customHeight="1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14.25" customHeight="1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14.25" customHeight="1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14.25" customHeight="1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14.25" customHeight="1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14.25" customHeight="1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14.25" customHeight="1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14.25" customHeight="1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14.25" customHeight="1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14.25" customHeight="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14.25" customHeight="1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14.25" customHeight="1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14.25" customHeight="1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14.25" customHeight="1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14.25" customHeight="1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14.25" customHeight="1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14.25" customHeight="1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14.25" customHeight="1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14.25" customHeight="1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14.25" customHeight="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14.25" customHeight="1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14.25" customHeight="1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14.25" customHeight="1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14.25" customHeight="1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14.25" customHeight="1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14.25" customHeight="1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14.25" customHeight="1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14.25" customHeight="1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14.25" customHeight="1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14.25" customHeight="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14.25" customHeight="1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14.25" customHeight="1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14.25" customHeight="1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14.25" customHeight="1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14.25" customHeight="1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14.25" customHeight="1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14.25" customHeight="1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14.25" customHeight="1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14.25" customHeight="1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14.25" customHeight="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14.25" customHeight="1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14.25" customHeight="1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14.25" customHeight="1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14.25" customHeight="1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14.25" customHeight="1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14.25" customHeight="1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14.25" customHeight="1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14.25" customHeight="1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14.25" customHeight="1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14.25" customHeight="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14.25" customHeight="1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14.25" customHeight="1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14.25" customHeight="1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14.25" customHeight="1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14.25" customHeight="1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14.25" customHeight="1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14.25" customHeight="1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14.25" customHeight="1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14.25" customHeight="1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14.25" customHeight="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14.25" customHeight="1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14.25" customHeight="1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14.25" customHeight="1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14.25" customHeight="1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14.25" customHeight="1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14.25" customHeight="1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14.25" customHeight="1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14.25" customHeight="1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14.25" customHeight="1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14.25" customHeight="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14.25" customHeight="1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14.25" customHeight="1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14.25" customHeight="1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14.25" customHeight="1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14.25" customHeight="1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14.25" customHeight="1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14.25" customHeight="1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14.25" customHeight="1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14.25" customHeight="1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14.25" customHeight="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14.25" customHeight="1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14.25" customHeight="1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14.25" customHeight="1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14.25" customHeight="1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14.25" customHeight="1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14.25" customHeight="1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14.25" customHeight="1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14.25" customHeight="1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14.25" customHeight="1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14.25" customHeight="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14.25" customHeight="1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14.25" customHeight="1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14.25" customHeight="1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14.25" customHeight="1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14.25" customHeight="1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14.25" customHeight="1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14.25" customHeight="1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14.25" customHeight="1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14.25" customHeight="1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14.25" customHeight="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14.25" customHeight="1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14.25" customHeight="1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14.25" customHeight="1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14.25" customHeight="1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14.25" customHeight="1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14.25" customHeight="1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14.25" customHeight="1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14.25" customHeight="1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14.25" customHeight="1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14.25" customHeight="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14.25" customHeight="1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14.25" customHeight="1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14.25" customHeight="1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14.25" customHeight="1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14.25" customHeight="1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14.25" customHeight="1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14.25" customHeight="1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14.25" customHeight="1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14.25" customHeight="1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14.25" customHeight="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14.25" customHeight="1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14.25" customHeight="1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14.25" customHeight="1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14.25" customHeight="1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14.25" customHeight="1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14.25" customHeight="1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14.25" customHeight="1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14.25" customHeight="1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14.25" customHeight="1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14.25" customHeight="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14.25" customHeight="1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14.25" customHeight="1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14.25" customHeight="1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14.25" customHeight="1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14.25" customHeight="1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14.25" customHeight="1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14.25" customHeight="1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14.25" customHeight="1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14.25" customHeight="1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14.25" customHeight="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14.25" customHeight="1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14.25" customHeight="1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14.25" customHeight="1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14.25" customHeight="1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14.25" customHeight="1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14.25" customHeight="1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14.25" customHeight="1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14.25" customHeight="1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14.25" customHeight="1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14.25" customHeight="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14.25" customHeight="1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14.25" customHeight="1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14.25" customHeight="1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14.25" customHeight="1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14.25" customHeight="1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14.25" customHeight="1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14.25" customHeight="1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14.25" customHeight="1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14.25" customHeight="1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14.25" customHeight="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14.25" customHeight="1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14.25" customHeight="1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14.25" customHeight="1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14.25" customHeight="1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14.25" customHeight="1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14.25" customHeight="1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14.25" customHeight="1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14.25" customHeight="1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14.25" customHeight="1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14.25" customHeight="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14.25" customHeight="1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14.25" customHeight="1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14.25" customHeight="1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14.25" customHeight="1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14.25" customHeight="1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14.25" customHeight="1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14.25" customHeight="1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14.25" customHeight="1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14.25" customHeight="1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14.25" customHeight="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14.25" customHeight="1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14.25" customHeight="1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14.25" customHeight="1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14.25" customHeight="1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14.25" customHeight="1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14.25" customHeight="1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14.25" customHeight="1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14.25" customHeight="1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14.25" customHeight="1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14.25" customHeight="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14.25" customHeight="1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14.25" customHeight="1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14.25" customHeight="1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14.25" customHeight="1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14.25" customHeight="1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14.25" customHeight="1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14.25" customHeight="1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14.25" customHeight="1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14.25" customHeight="1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14.25" customHeight="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14.25" customHeight="1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14.25" customHeight="1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14.25" customHeight="1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14.25" customHeight="1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14.25" customHeight="1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14.25" customHeight="1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14.25" customHeight="1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14.25" customHeight="1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14.25" customHeight="1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14.25" customHeight="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14.25" customHeight="1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14.25" customHeight="1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14.25" customHeight="1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14.25" customHeight="1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14.25" customHeight="1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14.25" customHeight="1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14.25" customHeight="1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14.25" customHeight="1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14.25" customHeight="1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14.25" customHeight="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14.25" customHeight="1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14.25" customHeight="1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14.25" customHeight="1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14.25" customHeight="1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14.25" customHeight="1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14.25" customHeight="1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14.25" customHeight="1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14.25" customHeight="1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14.25" customHeight="1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14.25" customHeight="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14.25" customHeight="1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14.25" customHeight="1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14.25" customHeight="1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14.25" customHeight="1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14.25" customHeight="1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14.25" customHeight="1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14.25" customHeight="1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14.25" customHeight="1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14.25" customHeight="1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14.25" customHeight="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14.25" customHeight="1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14.25" customHeight="1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14.25" customHeight="1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14.25" customHeight="1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14.25" customHeight="1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14.25" customHeight="1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14.25" customHeight="1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14.25" customHeight="1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14.25" customHeight="1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14.25" customHeight="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14.25" customHeight="1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14.25" customHeight="1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14.25" customHeight="1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14.25" customHeight="1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14.25" customHeight="1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14.25" customHeight="1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14.25" customHeight="1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14.25" customHeight="1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14.25" customHeight="1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14.25" customHeight="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14.25" customHeight="1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14.25" customHeight="1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14.25" customHeight="1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14.25" customHeight="1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14.25" customHeight="1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14.25" customHeight="1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14.25" customHeight="1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14.25" customHeight="1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14.25" customHeight="1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14.25" customHeight="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14.25" customHeight="1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14.25" customHeight="1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14.25" customHeight="1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14.25" customHeight="1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14.25" customHeight="1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14.25" customHeight="1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14.25" customHeight="1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14.25" customHeight="1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14.25" customHeight="1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14.25" customHeight="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14.25" customHeight="1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14.25" customHeight="1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14.25" customHeight="1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14.25" customHeight="1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14.25" customHeight="1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14.25" customHeight="1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14.25" customHeight="1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14.25" customHeight="1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14.25" customHeight="1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14.25" customHeight="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14.25" customHeight="1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14.25" customHeight="1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14.25" customHeight="1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14.25" customHeight="1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14.25" customHeight="1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14.25" customHeight="1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14.25" customHeight="1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14.25" customHeight="1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14.25" customHeight="1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14.25" customHeight="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14.25" customHeight="1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14.25" customHeight="1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14.25" customHeight="1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14.25" customHeight="1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14.25" customHeight="1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14.25" customHeight="1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14.25" customHeight="1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14.25" customHeight="1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14.25" customHeight="1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14.25" customHeight="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14.25" customHeight="1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14.25" customHeight="1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14.25" customHeight="1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14.25" customHeight="1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14.25" customHeight="1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14.25" customHeight="1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14.25" customHeight="1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14.25" customHeight="1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14.25" customHeight="1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14.25" customHeight="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14.25" customHeight="1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14.25" customHeight="1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14.25" customHeight="1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14.25" customHeight="1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14.25" customHeight="1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14.25" customHeight="1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14.25" customHeight="1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14.25" customHeight="1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14.25" customHeight="1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14.25" customHeight="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14.25" customHeight="1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14.25" customHeight="1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14.25" customHeight="1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14.25" customHeight="1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14.25" customHeight="1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14.25" customHeight="1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14.25" customHeight="1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14.25" customHeight="1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14.25" customHeight="1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14.25" customHeight="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14.25" customHeight="1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14.25" customHeight="1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14.25" customHeight="1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14.25" customHeight="1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14.25" customHeight="1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14.25" customHeight="1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14.25" customHeight="1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14.25" customHeight="1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14.25" customHeight="1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14.25" customHeight="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14.25" customHeight="1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14.25" customHeight="1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14.25" customHeight="1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14.25" customHeight="1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14.25" customHeight="1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14.25" customHeight="1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14.25" customHeight="1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14.25" customHeight="1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14.25" customHeight="1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14.25" customHeight="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14.25" customHeight="1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14.25" customHeight="1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14.25" customHeight="1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14.25" customHeight="1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14.25" customHeight="1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14.25" customHeight="1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14.25" customHeight="1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14.25" customHeight="1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14.25" customHeight="1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14.25" customHeight="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14.25" customHeight="1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14.25" customHeight="1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14.25" customHeight="1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14.25" customHeight="1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14.25" customHeight="1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14.25" customHeight="1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14.25" customHeight="1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14.25" customHeight="1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14.25" customHeight="1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1">
    <mergeCell ref="B2:G2"/>
  </mergeCells>
  <printOptions/>
  <pageMargins bottom="0.75" footer="0.0" header="0.0" left="0.7" right="0.7" top="0.75"/>
  <pageSetup orientation="portrait"/>
  <headerFooter>
    <oddFooter>&amp;C_x000D_#000000 Confidential - Low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7.71"/>
    <col customWidth="1" min="2" max="2" width="47.0"/>
    <col customWidth="1" min="3" max="3" width="17.86"/>
    <col customWidth="1" min="4" max="4" width="18.29"/>
    <col customWidth="1" min="5" max="5" width="19.14"/>
    <col customWidth="1" min="6" max="6" width="18.71"/>
    <col customWidth="1" min="7" max="7" width="19.14"/>
    <col customWidth="1" min="8" max="8" width="18.71"/>
    <col customWidth="1" min="9" max="9" width="21.0"/>
    <col customWidth="1" min="10" max="26" width="8.71"/>
  </cols>
  <sheetData>
    <row r="1" ht="14.25" customHeight="1">
      <c r="A1" s="31"/>
      <c r="B1" s="32" t="s">
        <v>12</v>
      </c>
      <c r="C1" s="5"/>
      <c r="D1" s="5"/>
      <c r="E1" s="5"/>
      <c r="F1" s="5"/>
      <c r="G1" s="5"/>
      <c r="H1" s="5"/>
      <c r="I1" s="33"/>
    </row>
    <row r="2" ht="14.25" customHeight="1">
      <c r="A2" s="34" t="s">
        <v>13</v>
      </c>
      <c r="B2" s="34" t="s">
        <v>14</v>
      </c>
      <c r="C2" s="34" t="s">
        <v>15</v>
      </c>
      <c r="D2" s="35" t="s">
        <v>16</v>
      </c>
      <c r="E2" s="36" t="s">
        <v>17</v>
      </c>
      <c r="F2" s="36" t="s">
        <v>18</v>
      </c>
      <c r="G2" s="36" t="s">
        <v>19</v>
      </c>
      <c r="H2" s="36" t="s">
        <v>20</v>
      </c>
      <c r="I2" s="34" t="s">
        <v>21</v>
      </c>
    </row>
    <row r="3" ht="14.25" customHeight="1">
      <c r="A3" s="37" t="s">
        <v>22</v>
      </c>
      <c r="B3" s="37" t="s">
        <v>23</v>
      </c>
      <c r="C3" s="37" t="s">
        <v>24</v>
      </c>
      <c r="D3" s="37" t="s">
        <v>25</v>
      </c>
      <c r="E3" s="38">
        <v>80.0</v>
      </c>
      <c r="F3" s="38">
        <v>90.0</v>
      </c>
      <c r="G3" s="38">
        <v>95.0</v>
      </c>
      <c r="H3" s="38">
        <v>88.33</v>
      </c>
      <c r="I3" s="39" t="s">
        <v>26</v>
      </c>
    </row>
    <row r="4" ht="14.25" customHeight="1">
      <c r="A4" s="40"/>
      <c r="B4" s="40"/>
      <c r="C4" s="40" t="s">
        <v>27</v>
      </c>
      <c r="D4" s="40" t="s">
        <v>28</v>
      </c>
      <c r="E4" s="41">
        <v>56.0</v>
      </c>
      <c r="F4" s="41">
        <v>78.0</v>
      </c>
      <c r="G4" s="41">
        <v>76.0</v>
      </c>
      <c r="H4" s="41">
        <v>70.0</v>
      </c>
      <c r="I4" s="40" t="s">
        <v>29</v>
      </c>
    </row>
    <row r="5" ht="14.25" customHeight="1">
      <c r="A5" s="40"/>
      <c r="B5" s="40"/>
      <c r="C5" s="40" t="s">
        <v>30</v>
      </c>
      <c r="D5" s="40" t="s">
        <v>31</v>
      </c>
      <c r="E5" s="41">
        <v>88.0</v>
      </c>
      <c r="F5" s="41">
        <v>78.0</v>
      </c>
      <c r="G5" s="41">
        <v>80.0</v>
      </c>
      <c r="H5" s="41">
        <v>82.0</v>
      </c>
      <c r="I5" s="40" t="s">
        <v>26</v>
      </c>
    </row>
    <row r="6" ht="14.25" customHeight="1"/>
    <row r="7" ht="14.25" customHeight="1"/>
    <row r="8" ht="14.25" customHeight="1"/>
    <row r="9" ht="14.25" customHeight="1"/>
    <row r="10" ht="14.25" customHeight="1"/>
    <row r="11" ht="14.25" customHeight="1"/>
    <row r="12" ht="14.25" customHeight="1"/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headerFooter>
    <oddFooter>&amp;C_x000D_#000000 Confidential - Low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3" max="5" width="21.57"/>
    <col customWidth="1" min="41" max="41" width="21.57"/>
  </cols>
  <sheetData>
    <row r="1">
      <c r="A1" s="42" t="s">
        <v>32</v>
      </c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43"/>
      <c r="AJ1" s="44"/>
      <c r="AK1" s="44"/>
      <c r="AL1" s="43"/>
      <c r="AM1" s="43"/>
      <c r="AN1" s="43"/>
      <c r="AO1" s="44"/>
      <c r="AP1" s="44"/>
      <c r="AQ1" s="44"/>
    </row>
    <row r="2">
      <c r="A2" s="45" t="s">
        <v>33</v>
      </c>
      <c r="B2" s="45" t="s">
        <v>34</v>
      </c>
      <c r="C2" s="45" t="s">
        <v>35</v>
      </c>
      <c r="D2" s="45" t="s">
        <v>36</v>
      </c>
      <c r="E2" s="45" t="s">
        <v>37</v>
      </c>
      <c r="F2" s="45" t="s">
        <v>38</v>
      </c>
      <c r="G2" s="46" t="s">
        <v>39</v>
      </c>
      <c r="H2" s="45" t="s">
        <v>40</v>
      </c>
      <c r="I2" s="45" t="s">
        <v>41</v>
      </c>
      <c r="J2" s="47" t="s">
        <v>42</v>
      </c>
      <c r="K2" s="45" t="s">
        <v>43</v>
      </c>
      <c r="L2" s="45" t="s">
        <v>44</v>
      </c>
      <c r="M2" s="45" t="s">
        <v>45</v>
      </c>
      <c r="N2" s="45" t="s">
        <v>46</v>
      </c>
      <c r="O2" s="45" t="s">
        <v>47</v>
      </c>
      <c r="P2" s="45" t="s">
        <v>48</v>
      </c>
      <c r="Q2" s="45" t="s">
        <v>49</v>
      </c>
      <c r="R2" s="45" t="s">
        <v>50</v>
      </c>
      <c r="S2" s="45" t="s">
        <v>51</v>
      </c>
      <c r="T2" s="45" t="s">
        <v>52</v>
      </c>
      <c r="U2" s="45" t="s">
        <v>53</v>
      </c>
      <c r="V2" s="45" t="s">
        <v>54</v>
      </c>
      <c r="W2" s="45" t="s">
        <v>55</v>
      </c>
      <c r="X2" s="45" t="s">
        <v>56</v>
      </c>
      <c r="Y2" s="45" t="s">
        <v>57</v>
      </c>
      <c r="Z2" s="45" t="s">
        <v>58</v>
      </c>
      <c r="AA2" s="45" t="s">
        <v>59</v>
      </c>
      <c r="AB2" s="45" t="s">
        <v>60</v>
      </c>
      <c r="AC2" s="45" t="s">
        <v>61</v>
      </c>
      <c r="AD2" s="45" t="s">
        <v>62</v>
      </c>
      <c r="AE2" s="47" t="s">
        <v>63</v>
      </c>
      <c r="AF2" s="45" t="s">
        <v>64</v>
      </c>
      <c r="AG2" s="45" t="s">
        <v>65</v>
      </c>
      <c r="AH2" s="45" t="s">
        <v>66</v>
      </c>
      <c r="AI2" s="47" t="s">
        <v>67</v>
      </c>
      <c r="AJ2" s="48" t="s">
        <v>68</v>
      </c>
      <c r="AK2" s="48" t="s">
        <v>69</v>
      </c>
      <c r="AL2" s="46" t="s">
        <v>70</v>
      </c>
      <c r="AM2" s="45" t="s">
        <v>71</v>
      </c>
      <c r="AN2" s="47" t="s">
        <v>72</v>
      </c>
      <c r="AO2" s="49" t="s">
        <v>73</v>
      </c>
      <c r="AP2" s="48" t="s">
        <v>74</v>
      </c>
      <c r="AQ2" s="50" t="s">
        <v>75</v>
      </c>
    </row>
    <row r="3">
      <c r="A3" s="51" t="s">
        <v>76</v>
      </c>
      <c r="B3" s="51" t="s">
        <v>77</v>
      </c>
      <c r="C3" s="51" t="s">
        <v>78</v>
      </c>
      <c r="D3" s="51" t="s">
        <v>79</v>
      </c>
      <c r="E3" s="51" t="s">
        <v>80</v>
      </c>
      <c r="F3" s="52">
        <v>2025145.0</v>
      </c>
      <c r="G3" s="53">
        <v>16.0</v>
      </c>
      <c r="H3" s="52">
        <v>16.0</v>
      </c>
      <c r="I3" s="54">
        <f>(G3/H3)*100</f>
        <v>100</v>
      </c>
      <c r="J3" s="55">
        <v>0.1</v>
      </c>
      <c r="K3" s="56">
        <v>19.0</v>
      </c>
      <c r="L3" s="56">
        <v>27.0</v>
      </c>
      <c r="M3" s="56">
        <v>14.0</v>
      </c>
      <c r="N3" s="56">
        <v>34.0</v>
      </c>
      <c r="O3" s="56">
        <v>21.0</v>
      </c>
      <c r="P3" s="56">
        <v>28.0</v>
      </c>
      <c r="Q3" s="56">
        <v>22.0</v>
      </c>
      <c r="R3" s="56">
        <v>34.0</v>
      </c>
      <c r="S3" s="56">
        <v>20.0</v>
      </c>
      <c r="T3" s="56">
        <v>12.0</v>
      </c>
      <c r="U3" s="56">
        <v>9.0</v>
      </c>
      <c r="V3" s="56">
        <v>44.0</v>
      </c>
      <c r="W3" s="56">
        <v>24.0</v>
      </c>
      <c r="X3" s="56">
        <v>39.0</v>
      </c>
      <c r="Y3" s="56">
        <v>22.0</v>
      </c>
      <c r="Z3" s="56">
        <v>47.0</v>
      </c>
      <c r="AA3" s="56">
        <v>19.0</v>
      </c>
      <c r="AB3" s="52">
        <f>SUM(K3:AA3)</f>
        <v>435</v>
      </c>
      <c r="AC3" s="52">
        <v>515.0</v>
      </c>
      <c r="AD3" s="54">
        <f>(AB3/AC3)*100</f>
        <v>84.46601942</v>
      </c>
      <c r="AE3" s="55">
        <v>0.7</v>
      </c>
      <c r="AF3" s="56">
        <v>93.0</v>
      </c>
      <c r="AG3" s="52">
        <v>100.0</v>
      </c>
      <c r="AH3" s="52">
        <f>(AF3/AG3)*100</f>
        <v>93</v>
      </c>
      <c r="AI3" s="55">
        <v>0.2</v>
      </c>
      <c r="AJ3" s="52">
        <f>TRUNC((I3*J3)+(AD3*AE3)+(AH3*AI3),2)</f>
        <v>87.72</v>
      </c>
      <c r="AK3" s="57" t="str">
        <f>VLOOKUP(AJ3,'Grading Scale'!$A$2:$B$13,2,true)</f>
        <v>B+</v>
      </c>
      <c r="AL3" s="53">
        <v>30.0</v>
      </c>
      <c r="AM3" s="52">
        <v>30.0</v>
      </c>
      <c r="AN3" s="58">
        <f>(AL3/AM3)*100</f>
        <v>100</v>
      </c>
      <c r="AO3" s="59" t="s">
        <v>81</v>
      </c>
      <c r="AP3" s="56">
        <v>94.44</v>
      </c>
      <c r="AQ3" s="60" t="s">
        <v>26</v>
      </c>
    </row>
  </sheetData>
  <mergeCells count="1">
    <mergeCell ref="A1:E1"/>
  </mergeCells>
  <dataValidations>
    <dataValidation type="list" allowBlank="1" showErrorMessage="1" sqref="AO3">
      <formula1>"Satisfactory,Needs Improvement,Unsatisfactory"</formula1>
    </dataValidation>
    <dataValidation type="list" allowBlank="1" showErrorMessage="1" sqref="AQ3">
      <formula1>"Pass,Fail"</formula1>
    </dataValidation>
    <dataValidation type="list" allowBlank="1" showErrorMessage="1" sqref="B3">
      <formula1>"Cycle 1,Cycle 2,Cycle 3,Cycle 4"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cols>
    <col customWidth="1" min="1" max="1" width="21.57"/>
    <col customWidth="1" min="4" max="4" width="21.57"/>
  </cols>
  <sheetData>
    <row r="1">
      <c r="A1" s="61" t="s">
        <v>82</v>
      </c>
      <c r="B1" s="61" t="s">
        <v>83</v>
      </c>
      <c r="C1" s="61" t="s">
        <v>84</v>
      </c>
      <c r="D1" s="61" t="s">
        <v>85</v>
      </c>
    </row>
    <row r="2">
      <c r="A2" s="62">
        <v>0.0</v>
      </c>
      <c r="B2" s="63" t="s">
        <v>86</v>
      </c>
      <c r="C2" s="64">
        <v>0.0</v>
      </c>
      <c r="D2" s="63" t="s">
        <v>87</v>
      </c>
    </row>
    <row r="3">
      <c r="A3" s="62">
        <v>63.0</v>
      </c>
      <c r="B3" s="63" t="s">
        <v>88</v>
      </c>
      <c r="C3" s="64">
        <v>0.65</v>
      </c>
      <c r="D3" s="63" t="s">
        <v>87</v>
      </c>
    </row>
    <row r="4">
      <c r="A4" s="62">
        <v>66.0</v>
      </c>
      <c r="B4" s="63" t="s">
        <v>89</v>
      </c>
      <c r="C4" s="64">
        <v>1.0</v>
      </c>
      <c r="D4" s="63" t="s">
        <v>87</v>
      </c>
    </row>
    <row r="5">
      <c r="A5" s="62">
        <v>69.0</v>
      </c>
      <c r="B5" s="63" t="s">
        <v>90</v>
      </c>
      <c r="C5" s="64">
        <v>1.35</v>
      </c>
      <c r="D5" s="63" t="s">
        <v>87</v>
      </c>
    </row>
    <row r="6">
      <c r="A6" s="62">
        <v>72.0</v>
      </c>
      <c r="B6" s="63" t="s">
        <v>91</v>
      </c>
      <c r="C6" s="64">
        <v>1.65</v>
      </c>
      <c r="D6" s="63" t="s">
        <v>87</v>
      </c>
    </row>
    <row r="7">
      <c r="A7" s="62">
        <v>75.0</v>
      </c>
      <c r="B7" s="63" t="s">
        <v>92</v>
      </c>
      <c r="C7" s="64">
        <v>2.0</v>
      </c>
      <c r="D7" s="63" t="s">
        <v>81</v>
      </c>
    </row>
    <row r="8">
      <c r="A8" s="62">
        <v>78.0</v>
      </c>
      <c r="B8" s="63" t="s">
        <v>93</v>
      </c>
      <c r="C8" s="64">
        <v>2.35</v>
      </c>
      <c r="D8" s="63" t="s">
        <v>81</v>
      </c>
    </row>
    <row r="9">
      <c r="A9" s="62">
        <v>81.0</v>
      </c>
      <c r="B9" s="63" t="s">
        <v>94</v>
      </c>
      <c r="C9" s="64">
        <v>2.65</v>
      </c>
      <c r="D9" s="63" t="s">
        <v>95</v>
      </c>
    </row>
    <row r="10">
      <c r="A10" s="62">
        <v>84.0</v>
      </c>
      <c r="B10" s="63" t="s">
        <v>96</v>
      </c>
      <c r="C10" s="64">
        <v>3.0</v>
      </c>
      <c r="D10" s="63" t="s">
        <v>95</v>
      </c>
    </row>
    <row r="11">
      <c r="A11" s="62">
        <v>87.0</v>
      </c>
      <c r="B11" s="63" t="s">
        <v>97</v>
      </c>
      <c r="C11" s="64">
        <v>3.35</v>
      </c>
      <c r="D11" s="63" t="s">
        <v>95</v>
      </c>
    </row>
    <row r="12">
      <c r="A12" s="62">
        <v>90.0</v>
      </c>
      <c r="B12" s="63" t="s">
        <v>98</v>
      </c>
      <c r="C12" s="64">
        <v>3.65</v>
      </c>
      <c r="D12" s="63" t="s">
        <v>99</v>
      </c>
    </row>
    <row r="13">
      <c r="A13" s="62">
        <v>93.0</v>
      </c>
      <c r="B13" s="63" t="s">
        <v>100</v>
      </c>
      <c r="C13" s="64">
        <v>4.0</v>
      </c>
      <c r="D13" s="63" t="s">
        <v>101</v>
      </c>
    </row>
    <row r="14">
      <c r="A14" s="65"/>
      <c r="B14" s="65"/>
      <c r="C14" s="65"/>
      <c r="D14" s="65"/>
    </row>
    <row r="15">
      <c r="A15" s="66" t="s">
        <v>26</v>
      </c>
      <c r="B15" s="63" t="s">
        <v>102</v>
      </c>
      <c r="C15" s="63" t="s">
        <v>103</v>
      </c>
      <c r="D15" s="63" t="s">
        <v>104</v>
      </c>
    </row>
    <row r="16">
      <c r="A16" s="66" t="s">
        <v>29</v>
      </c>
      <c r="B16" s="63" t="s">
        <v>86</v>
      </c>
      <c r="C16" s="63" t="s">
        <v>103</v>
      </c>
      <c r="D16" s="63" t="s">
        <v>105</v>
      </c>
    </row>
    <row r="17">
      <c r="A17" s="67">
        <v>0.0</v>
      </c>
      <c r="B17" s="63" t="s">
        <v>106</v>
      </c>
      <c r="C17" s="63" t="s">
        <v>107</v>
      </c>
      <c r="D17" s="63" t="s">
        <v>103</v>
      </c>
    </row>
    <row r="18">
      <c r="A18" s="67">
        <v>0.0</v>
      </c>
      <c r="B18" s="63" t="s">
        <v>108</v>
      </c>
      <c r="C18" s="63" t="s">
        <v>109</v>
      </c>
      <c r="D18" s="63" t="s">
        <v>103</v>
      </c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2023-09-12T22:47:57Z</dcterms:created>
  <dc:creator>Brandon Hammond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213b91bf-ff26-4203-8076-653b9b8a5c80_Enabled">
    <vt:lpwstr>true</vt:lpwstr>
  </property>
  <property fmtid="{D5CDD505-2E9C-101B-9397-08002B2CF9AE}" pid="3" name="MSIP_Label_213b91bf-ff26-4203-8076-653b9b8a5c80_SetDate">
    <vt:lpwstr>2025-06-19T17:03:28Z</vt:lpwstr>
  </property>
  <property fmtid="{D5CDD505-2E9C-101B-9397-08002B2CF9AE}" pid="4" name="MSIP_Label_213b91bf-ff26-4203-8076-653b9b8a5c80_Method">
    <vt:lpwstr>Standard</vt:lpwstr>
  </property>
  <property fmtid="{D5CDD505-2E9C-101B-9397-08002B2CF9AE}" pid="5" name="MSIP_Label_213b91bf-ff26-4203-8076-653b9b8a5c80_Name">
    <vt:lpwstr>Confidential - Low</vt:lpwstr>
  </property>
  <property fmtid="{D5CDD505-2E9C-101B-9397-08002B2CF9AE}" pid="6" name="MSIP_Label_213b91bf-ff26-4203-8076-653b9b8a5c80_SiteId">
    <vt:lpwstr>1f311b51-f6d9-4153-9bac-55e0ef9641b8</vt:lpwstr>
  </property>
  <property fmtid="{D5CDD505-2E9C-101B-9397-08002B2CF9AE}" pid="7" name="MSIP_Label_213b91bf-ff26-4203-8076-653b9b8a5c80_ActionId">
    <vt:lpwstr>6ad0775b-fc4a-487c-bc4f-d496ea079a2b</vt:lpwstr>
  </property>
  <property fmtid="{D5CDD505-2E9C-101B-9397-08002B2CF9AE}" pid="8" name="MSIP_Label_213b91bf-ff26-4203-8076-653b9b8a5c80_ContentBits">
    <vt:lpwstr>2</vt:lpwstr>
  </property>
  <property fmtid="{D5CDD505-2E9C-101B-9397-08002B2CF9AE}" pid="9" name="MSIP_Label_213b91bf-ff26-4203-8076-653b9b8a5c80_Tag">
    <vt:lpwstr>10, 3, 0, 1</vt:lpwstr>
  </property>
</Properties>
</file>